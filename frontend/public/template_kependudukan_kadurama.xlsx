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D6F07FB9-3D5E-4A41-8FF7-F6BC4F88A84F}" xr6:coauthVersionLast="36" xr6:coauthVersionMax="36" xr10:uidLastSave="{00000000-0000-0000-0000-000000000000}"/>
  <bookViews>
    <workbookView xWindow="0" yWindow="0" windowWidth="28800" windowHeight="11610" xr2:uid="{8EC0EB87-5477-43D2-AAD0-75B3919E03F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3" i="1" l="1"/>
  <c r="V2" i="1"/>
</calcChain>
</file>

<file path=xl/sharedStrings.xml><?xml version="1.0" encoding="utf-8"?>
<sst xmlns="http://schemas.openxmlformats.org/spreadsheetml/2006/main" count="74" uniqueCount="60">
  <si>
    <t>KD_NAMA_PROP</t>
  </si>
  <si>
    <t>NAMA_PROP</t>
  </si>
  <si>
    <t>KD_NAMA_KAB</t>
  </si>
  <si>
    <t>NAMA_KAB</t>
  </si>
  <si>
    <t>KD_NAMA_KEC</t>
  </si>
  <si>
    <t>NAMA_KEC</t>
  </si>
  <si>
    <t>KD_NAMA_KEL</t>
  </si>
  <si>
    <t>NAMA_KEL</t>
  </si>
  <si>
    <t>ALAMAT</t>
  </si>
  <si>
    <t>RW</t>
  </si>
  <si>
    <t>RT</t>
  </si>
  <si>
    <t>NO_KK</t>
  </si>
  <si>
    <t>NAMA_KEP_KEL</t>
  </si>
  <si>
    <t>KODESHDK</t>
  </si>
  <si>
    <t>SHDK</t>
  </si>
  <si>
    <t>NIK</t>
  </si>
  <si>
    <t>NAMA</t>
  </si>
  <si>
    <t>KODE_JK</t>
  </si>
  <si>
    <t>JK</t>
  </si>
  <si>
    <t>TMPT_LHR</t>
  </si>
  <si>
    <t>TGL_LHR</t>
  </si>
  <si>
    <t>UMUR</t>
  </si>
  <si>
    <t>KODE_GDR</t>
  </si>
  <si>
    <t>GDR</t>
  </si>
  <si>
    <t>KD_AGAMA</t>
  </si>
  <si>
    <t>AGAMA</t>
  </si>
  <si>
    <t>KD_STATUS</t>
  </si>
  <si>
    <t>STATUS</t>
  </si>
  <si>
    <t>KD_PDDK_AKHIR</t>
  </si>
  <si>
    <t>PDDK_AKHIR</t>
  </si>
  <si>
    <t>KD_PEKERJAAN</t>
  </si>
  <si>
    <t>PEKERJAAN</t>
  </si>
  <si>
    <t>NAMA_IBU</t>
  </si>
  <si>
    <t>NAMA_AYAH</t>
  </si>
  <si>
    <t>JAWA BARAT</t>
  </si>
  <si>
    <t>KUNINGAN</t>
  </si>
  <si>
    <t>CIAWIGEBANG</t>
  </si>
  <si>
    <t>KADURAMA</t>
  </si>
  <si>
    <t>3208100602060318</t>
  </si>
  <si>
    <t>ARIEF WASITO POERNOMO</t>
  </si>
  <si>
    <t>Kepala Keluarga</t>
  </si>
  <si>
    <t>3208102601620003</t>
  </si>
  <si>
    <t>L</t>
  </si>
  <si>
    <t>LAMPUNG</t>
  </si>
  <si>
    <t>-</t>
  </si>
  <si>
    <t>1</t>
  </si>
  <si>
    <t>Islam</t>
  </si>
  <si>
    <t>Kawin</t>
  </si>
  <si>
    <t>SLTA/Sederajat</t>
  </si>
  <si>
    <t>Wiraswasta</t>
  </si>
  <si>
    <t>MAS`AMAH</t>
  </si>
  <si>
    <t>S.POERNOMO</t>
  </si>
  <si>
    <t>3208100602061437</t>
  </si>
  <si>
    <t>JUMALI</t>
  </si>
  <si>
    <t>3208100107500155</t>
  </si>
  <si>
    <t>Cerai Mati</t>
  </si>
  <si>
    <t>Tidak Tamat SD/Sederajat</t>
  </si>
  <si>
    <t>Petani/Pekebun</t>
  </si>
  <si>
    <t>ASPI</t>
  </si>
  <si>
    <t>WATMA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</si>
</sst>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mm/dd/yyyy\ hh:mm:ss"/>
  </numFmts>
  <fonts count="2" x14ac:knownFonts="1">
    <font>
      <sz val="11"/>
      <color theme="1"/>
      <name val="Calibri"/>
      <family val="2"/>
      <scheme val="minor"/>
    </font>
    <font>
      <sz val="9"/>
      <color indexed="8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0" fontId="1" fillId="2" borderId="0" xfId="0" applyFont="1" applyFill="1" applyAlignment="1">
      <alignment horizontal="right"/>
    </xf>
    <xf numFmtId="3" fontId="1" fillId="0" borderId="0" xfId="0" applyNumberFormat="1" applyFont="1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5C18D-18F6-4684-8EC8-A8E5977E2C9B}">
  <dimension ref="A1:AH3"/>
  <sheetViews>
    <sheetView tabSelected="1" workbookViewId="0">
      <selection sqref="A1:AH3"/>
    </sheetView>
  </sheetViews>
  <sheetFormatPr defaultRowHeight="15" x14ac:dyDescent="0.25"/>
  <sheetData>
    <row r="1" spans="1:3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3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25">
      <c r="A2" s="4">
        <v>32</v>
      </c>
      <c r="B2" s="5" t="s">
        <v>34</v>
      </c>
      <c r="C2" s="4">
        <v>8</v>
      </c>
      <c r="D2" s="5" t="s">
        <v>35</v>
      </c>
      <c r="E2" s="4">
        <v>10</v>
      </c>
      <c r="F2" s="5" t="s">
        <v>36</v>
      </c>
      <c r="G2" s="4">
        <v>2002</v>
      </c>
      <c r="H2" s="5" t="s">
        <v>37</v>
      </c>
      <c r="I2" s="5" t="s">
        <v>37</v>
      </c>
      <c r="J2" s="5"/>
      <c r="K2" s="5"/>
      <c r="L2" s="5" t="s">
        <v>38</v>
      </c>
      <c r="M2" s="5" t="s">
        <v>39</v>
      </c>
      <c r="N2" s="4">
        <v>1</v>
      </c>
      <c r="O2" s="5" t="s">
        <v>40</v>
      </c>
      <c r="P2" s="5" t="s">
        <v>41</v>
      </c>
      <c r="Q2" s="5" t="s">
        <v>39</v>
      </c>
      <c r="R2" s="4">
        <v>1</v>
      </c>
      <c r="S2" s="5" t="s">
        <v>42</v>
      </c>
      <c r="T2" s="5" t="s">
        <v>43</v>
      </c>
      <c r="U2" s="6">
        <v>22672</v>
      </c>
      <c r="V2" s="7" t="e">
        <f>DATEDIF(U2,$AK$2,"Y")&amp;" Tahun"  &amp;" "&amp; DATEDIF(U2,$AK$2, "YM") &amp;" Bulan"</f>
        <v>#NUM!</v>
      </c>
      <c r="W2" s="4">
        <v>13</v>
      </c>
      <c r="X2" s="5" t="s">
        <v>44</v>
      </c>
      <c r="Y2" s="5" t="s">
        <v>45</v>
      </c>
      <c r="Z2" s="5" t="s">
        <v>46</v>
      </c>
      <c r="AA2" s="4">
        <v>2</v>
      </c>
      <c r="AB2" s="5" t="s">
        <v>47</v>
      </c>
      <c r="AC2" s="4">
        <v>5</v>
      </c>
      <c r="AD2" s="5" t="s">
        <v>48</v>
      </c>
      <c r="AE2" s="4">
        <v>88</v>
      </c>
      <c r="AF2" s="5" t="s">
        <v>49</v>
      </c>
      <c r="AG2" s="5" t="s">
        <v>50</v>
      </c>
      <c r="AH2" s="5" t="s">
        <v>51</v>
      </c>
    </row>
    <row r="3" spans="1:34" x14ac:dyDescent="0.25">
      <c r="A3" s="4">
        <v>32</v>
      </c>
      <c r="B3" s="5" t="s">
        <v>34</v>
      </c>
      <c r="C3" s="4">
        <v>8</v>
      </c>
      <c r="D3" s="5" t="s">
        <v>35</v>
      </c>
      <c r="E3" s="4">
        <v>10</v>
      </c>
      <c r="F3" s="5" t="s">
        <v>36</v>
      </c>
      <c r="G3" s="4">
        <v>2002</v>
      </c>
      <c r="H3" s="5" t="s">
        <v>37</v>
      </c>
      <c r="I3" s="5" t="s">
        <v>37</v>
      </c>
      <c r="J3" s="5"/>
      <c r="K3" s="5"/>
      <c r="L3" s="5" t="s">
        <v>52</v>
      </c>
      <c r="M3" s="5" t="s">
        <v>53</v>
      </c>
      <c r="N3" s="4">
        <v>1</v>
      </c>
      <c r="O3" s="5" t="s">
        <v>40</v>
      </c>
      <c r="P3" s="5" t="s">
        <v>54</v>
      </c>
      <c r="Q3" s="5" t="s">
        <v>53</v>
      </c>
      <c r="R3" s="4">
        <v>1</v>
      </c>
      <c r="S3" s="5" t="s">
        <v>42</v>
      </c>
      <c r="T3" s="5" t="s">
        <v>35</v>
      </c>
      <c r="U3" s="6">
        <v>18445</v>
      </c>
      <c r="V3" s="7" t="e">
        <f t="shared" ref="V3" si="0">DATEDIF(U3,$AK$2,"Y")&amp;" Tahun"  &amp;" "&amp; DATEDIF(U3,$AK$2, "YM") &amp;" Bulan"</f>
        <v>#NUM!</v>
      </c>
      <c r="W3" s="4">
        <v>13</v>
      </c>
      <c r="X3" s="5" t="s">
        <v>44</v>
      </c>
      <c r="Y3" s="5" t="s">
        <v>45</v>
      </c>
      <c r="Z3" s="5" t="s">
        <v>46</v>
      </c>
      <c r="AA3" s="4">
        <v>4</v>
      </c>
      <c r="AB3" s="5" t="s">
        <v>55</v>
      </c>
      <c r="AC3" s="4">
        <v>2</v>
      </c>
      <c r="AD3" s="5" t="s">
        <v>56</v>
      </c>
      <c r="AE3" s="4">
        <v>9</v>
      </c>
      <c r="AF3" s="5" t="s">
        <v>57</v>
      </c>
      <c r="AG3" s="5" t="s">
        <v>58</v>
      </c>
      <c r="AH3" s="5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2026-09-15T06:49:40Z</dcterms:created>
  <dcterms:modified xsi:type="dcterms:W3CDTF">2026-09-15T06:50:01Z</dcterms:modified>
</cp:coreProperties>
</file>